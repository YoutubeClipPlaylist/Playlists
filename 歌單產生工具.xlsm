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\YoutubeClipPlaylist\Playlists\"/>
    </mc:Choice>
  </mc:AlternateContent>
  <xr:revisionPtr revIDLastSave="0" documentId="13_ncr:1_{634A66C9-92A6-4C0B-9FA9-6A39E382D07E}" xr6:coauthVersionLast="47" xr6:coauthVersionMax="47" xr10:uidLastSave="{00000000-0000-0000-0000-000000000000}"/>
  <bookViews>
    <workbookView xWindow="1002" yWindow="-113" windowWidth="23152" windowHeight="13749" activeTab="3" xr2:uid="{F29645A2-B28C-4C83-B628-3EFFFD917111}"/>
  </bookViews>
  <sheets>
    <sheet name="說明" sheetId="2" r:id="rId1"/>
    <sheet name="由資料產生帶連結歌名" sheetId="5" r:id="rId2"/>
    <sheet name="時軸轉換表" sheetId="4" r:id="rId3"/>
    <sheet name="由連結拆出json資料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D2" i="5"/>
  <c r="G2" i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" i="4"/>
  <c r="E2" i="4"/>
  <c r="I2" i="4"/>
  <c r="J2" i="4" s="1"/>
  <c r="E3" i="4"/>
  <c r="I3" i="4"/>
  <c r="J3" i="4"/>
  <c r="E4" i="4"/>
  <c r="I4" i="4"/>
  <c r="J4" i="4" s="1"/>
  <c r="E5" i="4"/>
  <c r="I5" i="4"/>
  <c r="J5" i="4" s="1"/>
  <c r="E6" i="4"/>
  <c r="I6" i="4"/>
  <c r="J6" i="4"/>
  <c r="E7" i="4"/>
  <c r="I7" i="4"/>
  <c r="J7" i="4" s="1"/>
  <c r="E8" i="4"/>
  <c r="I8" i="4"/>
  <c r="J8" i="4" s="1"/>
  <c r="E9" i="4"/>
  <c r="I9" i="4"/>
  <c r="J9" i="4"/>
  <c r="E10" i="4"/>
  <c r="I10" i="4"/>
  <c r="J10" i="4" s="1"/>
  <c r="E11" i="4"/>
  <c r="I11" i="4"/>
  <c r="J11" i="4" s="1"/>
  <c r="E12" i="4"/>
  <c r="I12" i="4"/>
  <c r="J12" i="4"/>
  <c r="E13" i="4"/>
  <c r="I13" i="4"/>
  <c r="J13" i="4" s="1"/>
  <c r="E14" i="4"/>
  <c r="I14" i="4"/>
  <c r="J14" i="4" s="1"/>
  <c r="E15" i="4"/>
  <c r="I15" i="4"/>
  <c r="J15" i="4"/>
  <c r="E16" i="4"/>
  <c r="I16" i="4"/>
  <c r="J16" i="4" s="1"/>
  <c r="E17" i="4"/>
  <c r="I17" i="4"/>
  <c r="J17" i="4" s="1"/>
  <c r="E18" i="4"/>
  <c r="I18" i="4"/>
  <c r="J18" i="4"/>
  <c r="E19" i="4"/>
  <c r="I19" i="4"/>
  <c r="J19" i="4" s="1"/>
  <c r="E20" i="4"/>
  <c r="I20" i="4"/>
  <c r="J20" i="4" s="1"/>
  <c r="E21" i="4"/>
  <c r="I21" i="4"/>
  <c r="J21" i="4"/>
  <c r="E22" i="4"/>
  <c r="I22" i="4"/>
  <c r="J22" i="4" s="1"/>
  <c r="E23" i="4"/>
  <c r="I23" i="4"/>
  <c r="J23" i="4" s="1"/>
  <c r="E24" i="4"/>
  <c r="I24" i="4"/>
  <c r="J24" i="4"/>
  <c r="E25" i="4"/>
  <c r="I25" i="4"/>
  <c r="J25" i="4" s="1"/>
  <c r="E26" i="4"/>
  <c r="I26" i="4"/>
  <c r="J26" i="4" s="1"/>
  <c r="E27" i="4"/>
  <c r="I27" i="4"/>
  <c r="J27" i="4"/>
</calcChain>
</file>

<file path=xl/sharedStrings.xml><?xml version="1.0" encoding="utf-8"?>
<sst xmlns="http://schemas.openxmlformats.org/spreadsheetml/2006/main" count="45" uniqueCount="38">
  <si>
    <t>要轉換的帶網址字串</t>
    <phoneticPr fontId="1" type="noConversion"/>
  </si>
  <si>
    <t>start</t>
    <phoneticPr fontId="1" type="noConversion"/>
  </si>
  <si>
    <t>end</t>
    <phoneticPr fontId="1" type="noConversion"/>
  </si>
  <si>
    <t>https://docs.google.com/spreadsheets/d/1ejh9QtxuN54A5yga55NOFhu71E3lV1Fs8GaHQQ-T5Zs/edit?usp=sharing</t>
  </si>
  <si>
    <t>https://docs.google.com/spreadsheets/d/1WMQoEwZZbT4FC1pQ1aNHhNTHukskGXGKw3vcXpnFsPA/edit?usp=sharing</t>
    <phoneticPr fontId="1" type="noConversion"/>
  </si>
  <si>
    <t>ガーネット</t>
  </si>
  <si>
    <t>yDpTcXRr6xs</t>
    <phoneticPr fontId="1" type="noConversion"/>
  </si>
  <si>
    <t>https://blog.maki0419.com/2022/06/chrome-extension-youtube-clip-playlist.html</t>
    <phoneticPr fontId="1" type="noConversion"/>
  </si>
  <si>
    <t>感電</t>
  </si>
  <si>
    <t>jJDtGWDHchw</t>
    <phoneticPr fontId="1" type="noConversion"/>
  </si>
  <si>
    <t>時長</t>
    <phoneticPr fontId="1" type="noConversion"/>
  </si>
  <si>
    <t>秒</t>
    <phoneticPr fontId="1" type="noConversion"/>
  </si>
  <si>
    <t>分</t>
    <phoneticPr fontId="1" type="noConversion"/>
  </si>
  <si>
    <t>時</t>
    <phoneticPr fontId="1" type="noConversion"/>
  </si>
  <si>
    <t>時軸轉換表: 由影片留言處整理網友時間軸時使用的表格</t>
    <phoneticPr fontId="1" type="noConversion"/>
  </si>
  <si>
    <t>(自動產生)</t>
    <phoneticPr fontId="1" type="noConversion"/>
  </si>
  <si>
    <t>範例來源</t>
    <phoneticPr fontId="1" type="noConversion"/>
  </si>
  <si>
    <t>網址 (自動產生)</t>
    <phoneticPr fontId="1" type="noConversion"/>
  </si>
  <si>
    <t>ガーネット</t>
    <phoneticPr fontId="1" type="noConversion"/>
  </si>
  <si>
    <t>提出的網址 (自動產生)</t>
    <phoneticPr fontId="1" type="noConversion"/>
  </si>
  <si>
    <t>網址或影片ID (自動產生)</t>
    <phoneticPr fontId="1" type="noConversion"/>
  </si>
  <si>
    <t>start (自動產生)</t>
    <phoneticPr fontId="1" type="noConversion"/>
  </si>
  <si>
    <t>end (自動產生)</t>
    <phoneticPr fontId="1" type="noConversion"/>
  </si>
  <si>
    <t>轉出結果 (自動產生)</t>
    <phoneticPr fontId="1" type="noConversion"/>
  </si>
  <si>
    <t>yDpTcXRr6xs</t>
    <phoneticPr fontId="1" type="noConversion"/>
  </si>
  <si>
    <t>https://youtu.be/yDpTcXRr6xs?t=151&amp;end=463</t>
    <phoneticPr fontId="1" type="noConversion"/>
  </si>
  <si>
    <t>先在A1填入影片ID</t>
    <phoneticPr fontId="1" type="noConversion"/>
  </si>
  <si>
    <t>轉出給 Youtube 留言</t>
    <phoneticPr fontId="1" type="noConversion"/>
  </si>
  <si>
    <t>轉出給 Google Sheet</t>
    <phoneticPr fontId="1" type="noConversion"/>
  </si>
  <si>
    <t>此為專為 Youtube影片截選播放清單 (Youtube Clip Playlist) 設計之歌單產生功能</t>
    <phoneticPr fontId="1" type="noConversion"/>
  </si>
  <si>
    <t>作者: 琳</t>
    <phoneticPr fontId="1" type="noConversion"/>
  </si>
  <si>
    <t>https://blog.maki0419.com/</t>
    <phoneticPr fontId="1" type="noConversion"/>
  </si>
  <si>
    <t>https://twitter.com/jim60105</t>
    <phoneticPr fontId="1" type="noConversion"/>
  </si>
  <si>
    <t>由資料產生帶連結歌名: 將資料填入後，產出給 Google Sheet 或 Youtube 留言使用的歌單</t>
    <phoneticPr fontId="1" type="noConversion"/>
  </si>
  <si>
    <t>如果從Yotube留言複製來別人打的軸，擅用 Excel 的「資料剖析」功能切割字串再填入</t>
    <phoneticPr fontId="1" type="noConversion"/>
  </si>
  <si>
    <t>由連結拆出 json 資料: 將連結貼上於A欄後，點執行按鈕</t>
    <phoneticPr fontId="1" type="noConversion"/>
  </si>
  <si>
    <t>時長在超過180~360秒時紅底警示，有可能是打錯軸</t>
    <phoneticPr fontId="1" type="noConversion"/>
  </si>
  <si>
    <t>「歌名、起始秒、結束秒」填好以後點執行按鈕，灰底都不要動它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</si>
</sst>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sz val="12"/>
      <color theme="1"/>
      <name val="Microsoft YaHei"/>
      <family val="2"/>
      <charset val="134"/>
    </font>
    <font>
      <u/>
      <sz val="12"/>
      <color theme="10"/>
      <name val="Microsoft YaHei"/>
      <family val="2"/>
      <charset val="134"/>
    </font>
    <font>
      <b/>
      <sz val="12"/>
      <color theme="1"/>
      <name val="Microsoft YaHei"/>
      <family val="2"/>
      <charset val="134"/>
    </font>
    <font>
      <sz val="12"/>
      <color theme="3"/>
      <name val="Microsoft YaHei"/>
      <family val="2"/>
      <charset val="134"/>
    </font>
    <font>
      <sz val="12"/>
      <color theme="3"/>
      <name val="Microsoft YaHei"/>
      <family val="2"/>
    </font>
    <font>
      <sz val="12"/>
      <color theme="1"/>
      <name val="Microsoft YaHei"/>
      <family val="2"/>
    </font>
    <font>
      <sz val="12"/>
      <color rgb="FFFF0000"/>
      <name val="Microsoft YaHei"/>
      <family val="2"/>
      <charset val="134"/>
    </font>
    <font>
      <sz val="12"/>
      <name val="Microsoft YaHe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/>
      <right style="thick">
        <color auto="1"/>
      </right>
      <top/>
      <bottom/>
      <diagonal/>
    </border>
    <border>
      <left style="thick">
        <color rgb="FF00B050"/>
      </left>
      <right style="thick">
        <color auto="1"/>
      </right>
      <top/>
      <bottom/>
      <diagonal/>
    </border>
    <border>
      <left style="thick">
        <color auto="1"/>
      </left>
      <right style="thick">
        <color rgb="FF00B050"/>
      </right>
      <top/>
      <bottom/>
      <diagonal/>
    </border>
    <border>
      <left style="medium">
        <color rgb="FFCCCCCC"/>
      </left>
      <right style="thick">
        <color auto="1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2" fillId="0" borderId="3" xfId="1" applyBorder="1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0" borderId="0" xfId="1" applyFont="1">
      <alignment vertical="center"/>
    </xf>
    <xf numFmtId="0" fontId="6" fillId="0" borderId="0" xfId="0" applyFont="1">
      <alignment vertical="center"/>
    </xf>
    <xf numFmtId="0" fontId="0" fillId="2" borderId="3" xfId="0" applyFill="1" applyBorder="1">
      <alignment vertical="center"/>
    </xf>
    <xf numFmtId="0" fontId="7" fillId="0" borderId="2" xfId="2" applyFont="1">
      <alignment vertical="center"/>
    </xf>
    <xf numFmtId="0" fontId="8" fillId="0" borderId="2" xfId="2" applyFont="1" applyAlignment="1">
      <alignment vertical="center"/>
    </xf>
    <xf numFmtId="0" fontId="9" fillId="0" borderId="4" xfId="0" applyFont="1" applyBorder="1">
      <alignment vertical="center"/>
    </xf>
    <xf numFmtId="0" fontId="0" fillId="3" borderId="1" xfId="0" applyFill="1" applyBorder="1" applyAlignment="1">
      <alignment vertical="center"/>
    </xf>
    <xf numFmtId="0" fontId="0" fillId="0" borderId="6" xfId="0" applyBorder="1">
      <alignment vertical="center"/>
    </xf>
    <xf numFmtId="0" fontId="0" fillId="3" borderId="7" xfId="0" applyFill="1" applyBorder="1" applyAlignment="1">
      <alignment vertical="center"/>
    </xf>
    <xf numFmtId="0" fontId="0" fillId="0" borderId="6" xfId="0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6" xfId="0" applyFill="1" applyBorder="1">
      <alignment vertical="center"/>
    </xf>
    <xf numFmtId="0" fontId="2" fillId="3" borderId="9" xfId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2" fillId="0" borderId="0" xfId="1" applyBorder="1" applyAlignment="1">
      <alignment wrapText="1"/>
    </xf>
    <xf numFmtId="0" fontId="0" fillId="3" borderId="1" xfId="0" applyFill="1" applyBorder="1">
      <alignment vertical="center"/>
    </xf>
    <xf numFmtId="0" fontId="4" fillId="4" borderId="5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2" fillId="0" borderId="0" xfId="1">
      <alignment vertical="center"/>
    </xf>
    <xf numFmtId="0" fontId="11" fillId="0" borderId="0" xfId="0" applyFont="1">
      <alignment vertical="center"/>
    </xf>
    <xf numFmtId="0" fontId="2" fillId="0" borderId="11" xfId="1" applyBorder="1" applyAlignment="1">
      <alignment wrapText="1"/>
    </xf>
    <xf numFmtId="0" fontId="0" fillId="0" borderId="8" xfId="0" applyBorder="1">
      <alignment vertical="center"/>
    </xf>
    <xf numFmtId="0" fontId="7" fillId="0" borderId="2" xfId="2" applyFont="1" applyBorder="1">
      <alignment vertical="center"/>
    </xf>
  </cellXfs>
  <cellStyles count="3">
    <cellStyle name="一般" xfId="0" builtinId="0"/>
    <cellStyle name="超連結" xfId="1" builtinId="8"/>
    <cellStyle name="標題 2" xfId="2" builtinId="17"/>
  </cellStyles>
  <dxfs count="1"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214685</xdr:rowOff>
        </xdr:from>
        <xdr:to>
          <xdr:col>1</xdr:col>
          <xdr:colOff>826936</xdr:colOff>
          <xdr:row>2</xdr:row>
          <xdr:rowOff>198783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blog.maki0419.com/" TargetMode="External"/><Relationship Id="rId2" Type="http://schemas.openxmlformats.org/officeDocument/2006/relationships/hyperlink" Target="https://docs.google.com/spreadsheets/d/1WMQoEwZZbT4FC1pQ1aNHhNTHukskGXGKw3vcXpnFsPA/edit?usp=sharing" TargetMode="External"/><Relationship Id="rId1" Type="http://schemas.openxmlformats.org/officeDocument/2006/relationships/hyperlink" Target="https://docs.google.com/spreadsheets/d/1ejh9QtxuN54A5yga55NOFhu71E3lV1Fs8GaHQQ-T5Zs/edit?usp=sharing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blog.maki0419.com/2022/06/chrome-extension-youtube-clip-playlis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2" Type="http://schemas.openxmlformats.org/officeDocument/2006/relationships/hyperlink" Target="https://youtu.be/yDpTcXRr6xs?t=151&amp;end=463" TargetMode="External"/><Relationship Id="rId1" Type="http://schemas.openxmlformats.org/officeDocument/2006/relationships/hyperlink" Target="https://youtu.be/yDpTcXRr6xs?t=151&amp;end=463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youtu.be/yDpTcXRr6xs?t=151&amp;end=463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B52-A7C8-4B43-90B2-AF1A512C4C7A}">
  <sheetPr codeName="工作表2">
    <tabColor rgb="FFFF0000"/>
  </sheetPr>
  <dimension ref="B2:B20"/>
  <sheetViews>
    <sheetView workbookViewId="0">
      <selection activeCell="B2" sqref="B2"/>
    </sheetView>
  </sheetViews>
  <sheetFormatPr defaultRowHeight="16.899999999999999" x14ac:dyDescent="0.3"/>
  <cols>
    <col min="1" max="1" width="8.88671875" style="5"/>
    <col min="2" max="2" width="79" style="5" customWidth="1"/>
    <col min="3" max="16384" width="8.88671875" style="5"/>
  </cols>
  <sheetData>
    <row r="2" spans="2:2" ht="17.55" x14ac:dyDescent="0.3">
      <c r="B2" s="7" t="s">
        <v>33</v>
      </c>
    </row>
    <row r="3" spans="2:2" x14ac:dyDescent="0.3">
      <c r="B3" s="25" t="s">
        <v>26</v>
      </c>
    </row>
    <row r="4" spans="2:2" x14ac:dyDescent="0.3">
      <c r="B4" s="27" t="s">
        <v>37</v>
      </c>
    </row>
    <row r="5" spans="2:2" x14ac:dyDescent="0.3">
      <c r="B5" s="6"/>
    </row>
    <row r="6" spans="2:2" ht="17.55" x14ac:dyDescent="0.3">
      <c r="B6" s="7" t="s">
        <v>14</v>
      </c>
    </row>
    <row r="7" spans="2:2" x14ac:dyDescent="0.3">
      <c r="B7" s="25" t="s">
        <v>26</v>
      </c>
    </row>
    <row r="8" spans="2:2" x14ac:dyDescent="0.3">
      <c r="B8" s="5" t="s">
        <v>34</v>
      </c>
    </row>
    <row r="9" spans="2:2" x14ac:dyDescent="0.3">
      <c r="B9" s="5" t="s">
        <v>36</v>
      </c>
    </row>
    <row r="11" spans="2:2" ht="17.55" x14ac:dyDescent="0.3">
      <c r="B11" s="7" t="s">
        <v>35</v>
      </c>
    </row>
    <row r="12" spans="2:2" x14ac:dyDescent="0.3">
      <c r="B12" s="5" t="s">
        <v>29</v>
      </c>
    </row>
    <row r="13" spans="2:2" x14ac:dyDescent="0.3">
      <c r="B13" s="6" t="s">
        <v>7</v>
      </c>
    </row>
    <row r="14" spans="2:2" x14ac:dyDescent="0.3">
      <c r="B14" s="5" t="s">
        <v>16</v>
      </c>
    </row>
    <row r="15" spans="2:2" x14ac:dyDescent="0.3">
      <c r="B15" s="6" t="s">
        <v>3</v>
      </c>
    </row>
    <row r="16" spans="2:2" x14ac:dyDescent="0.3">
      <c r="B16" s="6" t="s">
        <v>4</v>
      </c>
    </row>
    <row r="17" spans="2:2" x14ac:dyDescent="0.3">
      <c r="B17" s="6"/>
    </row>
    <row r="18" spans="2:2" x14ac:dyDescent="0.3">
      <c r="B18" s="5" t="s">
        <v>30</v>
      </c>
    </row>
    <row r="19" spans="2:2" x14ac:dyDescent="0.3">
      <c r="B19" s="26" t="s">
        <v>31</v>
      </c>
    </row>
    <row r="20" spans="2:2" x14ac:dyDescent="0.3">
      <c r="B20" s="26" t="s">
        <v>32</v>
      </c>
    </row>
  </sheetData>
  <phoneticPr fontId="1" type="noConversion"/>
  <hyperlinks>
    <hyperlink ref="B15" r:id="rId1" xr:uid="{EA2409D1-C256-474C-AB41-54DE2932B3C9}"/>
    <hyperlink ref="B16" r:id="rId2" xr:uid="{C4F015F0-FE89-446C-AEFA-53639279B0A5}"/>
    <hyperlink ref="B19" r:id="rId3" xr:uid="{DCC2F218-B0D7-4981-A803-413991156445}"/>
    <hyperlink ref="B13" r:id="rId4" xr:uid="{A5E77147-67E9-4CDC-84FE-5CD774F7D835}"/>
  </hyperlinks>
  <pageMargins left="0.7" right="0.7" top="0.75" bottom="0.75" header="0.3" footer="0.3"/>
  <pageSetup paperSize="9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44424-5A16-456D-ACB1-D6CE269580C3}">
  <sheetPr codeName="工作表3">
    <tabColor theme="4"/>
  </sheetPr>
  <dimension ref="A1:G2"/>
  <sheetViews>
    <sheetView workbookViewId="0">
      <pane ySplit="1" topLeftCell="A2" activePane="bottomLeft" state="frozen"/>
      <selection pane="bottomLeft"/>
    </sheetView>
  </sheetViews>
  <sheetFormatPr defaultColWidth="9" defaultRowHeight="16.3" x14ac:dyDescent="0.3"/>
  <cols>
    <col min="1" max="1" width="19.109375" customWidth="1"/>
    <col min="2" max="2" width="6.33203125" style="15" customWidth="1"/>
    <col min="3" max="3" width="5.44140625" style="1" customWidth="1"/>
    <col min="4" max="4" width="39.5546875" style="14" customWidth="1"/>
    <col min="5" max="5" width="11.5546875" style="1" customWidth="1"/>
    <col min="6" max="6" width="24.21875" style="21" customWidth="1"/>
    <col min="7" max="7" width="33" style="20" customWidth="1"/>
    <col min="8" max="16384" width="9" style="1"/>
  </cols>
  <sheetData>
    <row r="1" spans="1:7" s="10" customFormat="1" ht="17.55" thickBot="1" x14ac:dyDescent="0.35">
      <c r="A1" s="24" t="s">
        <v>6</v>
      </c>
      <c r="B1" s="9" t="s">
        <v>1</v>
      </c>
      <c r="C1" s="9" t="s">
        <v>2</v>
      </c>
      <c r="D1" s="9" t="s">
        <v>17</v>
      </c>
      <c r="E1" s="9"/>
      <c r="F1" s="9" t="s">
        <v>28</v>
      </c>
      <c r="G1" s="9" t="s">
        <v>27</v>
      </c>
    </row>
    <row r="2" spans="1:7" ht="16.899999999999999" thickTop="1" x14ac:dyDescent="0.3">
      <c r="A2" t="s">
        <v>5</v>
      </c>
      <c r="B2" s="15">
        <v>151</v>
      </c>
      <c r="C2" s="1">
        <v>463</v>
      </c>
      <c r="D2" s="14" t="str">
        <f>"https://youtu.be/"&amp;$A$1&amp;"?t="&amp;$B2&amp;"&amp;end="&amp;$C2</f>
        <v>https://youtu.be/yDpTcXRr6xs?t=151&amp;end=463</v>
      </c>
      <c r="F2" s="19" t="s">
        <v>18</v>
      </c>
      <c r="G2" s="20" t="str">
        <f>TEXT(QUOTIENT($B2,60*60),"00")&amp;":"&amp;TEXT(QUOTIENT($B2,60),"00")&amp;":"&amp;MOD($B2,60) &amp;IF(ISBLANK($C2),"", " ~ "&amp; TEXT(QUOTIENT($C2,60*60),"00")&amp;":"&amp;TEXT(QUOTIENT($C2,60),"00")&amp;":"&amp;MOD($C2,60)) &amp;" "&amp;ROW()-1&amp;"."&amp;$F2</f>
        <v>00:02:31 ~ 00:07:43 1.ガーネット</v>
      </c>
    </row>
  </sheetData>
  <phoneticPr fontId="1" type="noConversion"/>
  <hyperlinks>
    <hyperlink ref="A2" r:id="rId1" display="https://youtu.be/yDpTcXRr6xs?t=151&amp;end=463" xr:uid="{B4BC5037-493D-4B81-99B3-4AE3BF9209BD}"/>
    <hyperlink ref="F2" r:id="rId2" display="https://youtu.be/yDpTcXRr6xs?t=151&amp;end=463" xr:uid="{C7D71FB6-4247-4192-973C-E2F23A904B3A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F736-F490-4F85-A33D-EC9E9C5AACC7}">
  <sheetPr codeName="工作表4">
    <tabColor theme="5"/>
  </sheetPr>
  <dimension ref="A1:K57"/>
  <sheetViews>
    <sheetView workbookViewId="0">
      <pane ySplit="1" topLeftCell="A2" activePane="bottomLeft" state="frozen"/>
      <selection pane="bottomLeft"/>
    </sheetView>
  </sheetViews>
  <sheetFormatPr defaultRowHeight="16.3" x14ac:dyDescent="0.3"/>
  <cols>
    <col min="1" max="1" width="19.109375" style="2" customWidth="1"/>
    <col min="2" max="4" width="3.44140625" customWidth="1"/>
    <col min="5" max="5" width="10.33203125" style="8" customWidth="1"/>
    <col min="6" max="8" width="3.5546875" customWidth="1"/>
    <col min="9" max="9" width="10.6640625" style="8" customWidth="1"/>
    <col min="10" max="10" width="13.88671875" style="13" customWidth="1"/>
    <col min="11" max="11" width="50.5546875" style="23" customWidth="1"/>
    <col min="12" max="12" width="9.77734375" customWidth="1"/>
  </cols>
  <sheetData>
    <row r="1" spans="1:11" s="11" customFormat="1" ht="17.55" thickBot="1" x14ac:dyDescent="0.35">
      <c r="A1" s="24" t="s">
        <v>9</v>
      </c>
      <c r="B1" s="9" t="s">
        <v>13</v>
      </c>
      <c r="C1" s="9" t="s">
        <v>12</v>
      </c>
      <c r="D1" s="9" t="s">
        <v>11</v>
      </c>
      <c r="E1" s="9" t="s">
        <v>15</v>
      </c>
      <c r="F1" s="9" t="s">
        <v>13</v>
      </c>
      <c r="G1" s="9" t="s">
        <v>12</v>
      </c>
      <c r="H1" s="9" t="s">
        <v>11</v>
      </c>
      <c r="I1" s="9" t="s">
        <v>15</v>
      </c>
      <c r="J1" s="9" t="s">
        <v>10</v>
      </c>
      <c r="K1" s="9" t="s">
        <v>23</v>
      </c>
    </row>
    <row r="2" spans="1:11" ht="16.899999999999999" thickTop="1" x14ac:dyDescent="0.3">
      <c r="A2" s="2" t="s">
        <v>8</v>
      </c>
      <c r="C2">
        <v>10</v>
      </c>
      <c r="D2">
        <v>37</v>
      </c>
      <c r="E2" s="8">
        <f t="shared" ref="E2:E27" si="0">B2*60*60 + C2*60 +D2</f>
        <v>637</v>
      </c>
      <c r="G2">
        <v>15</v>
      </c>
      <c r="H2">
        <v>2</v>
      </c>
      <c r="I2" s="8">
        <f t="shared" ref="I2:I27" si="1">$F2*60*60 + $G2*60 +H2</f>
        <v>902</v>
      </c>
      <c r="J2" s="13">
        <f t="shared" ref="J2:J27" si="2">I2-E2</f>
        <v>265</v>
      </c>
      <c r="K2" s="23" t="str">
        <f>"    [""" &amp; $A$1 &amp; """, " &amp; E2 &amp;", " &amp; I2 &amp;", """ &amp;A2&amp; """],"</f>
        <v xml:space="preserve">    ["jJDtGWDHchw", 637, 902, "感電"],</v>
      </c>
    </row>
    <row r="3" spans="1:11" x14ac:dyDescent="0.3">
      <c r="E3" s="8">
        <f t="shared" si="0"/>
        <v>0</v>
      </c>
      <c r="I3" s="8">
        <f t="shared" si="1"/>
        <v>0</v>
      </c>
      <c r="J3" s="13">
        <f t="shared" si="2"/>
        <v>0</v>
      </c>
      <c r="K3" s="23" t="str">
        <f t="shared" ref="K3:K27" si="3">"    [""" &amp; $A$1 &amp; """, " &amp; E3 &amp;", " &amp; I3 &amp;", """ &amp;A3&amp; """],"</f>
        <v xml:space="preserve">    ["jJDtGWDHchw", 0, 0, ""],</v>
      </c>
    </row>
    <row r="4" spans="1:11" x14ac:dyDescent="0.3">
      <c r="E4" s="8">
        <f t="shared" si="0"/>
        <v>0</v>
      </c>
      <c r="I4" s="8">
        <f t="shared" si="1"/>
        <v>0</v>
      </c>
      <c r="J4" s="13">
        <f t="shared" si="2"/>
        <v>0</v>
      </c>
      <c r="K4" s="23" t="str">
        <f t="shared" si="3"/>
        <v xml:space="preserve">    ["jJDtGWDHchw", 0, 0, ""],</v>
      </c>
    </row>
    <row r="5" spans="1:11" x14ac:dyDescent="0.3">
      <c r="E5" s="8">
        <f t="shared" si="0"/>
        <v>0</v>
      </c>
      <c r="I5" s="8">
        <f t="shared" si="1"/>
        <v>0</v>
      </c>
      <c r="J5" s="13">
        <f t="shared" si="2"/>
        <v>0</v>
      </c>
      <c r="K5" s="23" t="str">
        <f t="shared" si="3"/>
        <v xml:space="preserve">    ["jJDtGWDHchw", 0, 0, ""],</v>
      </c>
    </row>
    <row r="6" spans="1:11" x14ac:dyDescent="0.3">
      <c r="E6" s="8">
        <f t="shared" si="0"/>
        <v>0</v>
      </c>
      <c r="I6" s="8">
        <f t="shared" si="1"/>
        <v>0</v>
      </c>
      <c r="J6" s="13">
        <f t="shared" si="2"/>
        <v>0</v>
      </c>
      <c r="K6" s="23" t="str">
        <f t="shared" si="3"/>
        <v xml:space="preserve">    ["jJDtGWDHchw", 0, 0, ""],</v>
      </c>
    </row>
    <row r="7" spans="1:11" x14ac:dyDescent="0.3">
      <c r="E7" s="8">
        <f t="shared" si="0"/>
        <v>0</v>
      </c>
      <c r="I7" s="8">
        <f t="shared" si="1"/>
        <v>0</v>
      </c>
      <c r="J7" s="13">
        <f t="shared" si="2"/>
        <v>0</v>
      </c>
      <c r="K7" s="23" t="str">
        <f t="shared" si="3"/>
        <v xml:space="preserve">    ["jJDtGWDHchw", 0, 0, ""],</v>
      </c>
    </row>
    <row r="8" spans="1:11" x14ac:dyDescent="0.3">
      <c r="E8" s="8">
        <f t="shared" si="0"/>
        <v>0</v>
      </c>
      <c r="I8" s="8">
        <f t="shared" si="1"/>
        <v>0</v>
      </c>
      <c r="J8" s="13">
        <f t="shared" si="2"/>
        <v>0</v>
      </c>
      <c r="K8" s="23" t="str">
        <f t="shared" si="3"/>
        <v xml:space="preserve">    ["jJDtGWDHchw", 0, 0, ""],</v>
      </c>
    </row>
    <row r="9" spans="1:11" x14ac:dyDescent="0.3">
      <c r="E9" s="8">
        <f t="shared" si="0"/>
        <v>0</v>
      </c>
      <c r="I9" s="8">
        <f t="shared" si="1"/>
        <v>0</v>
      </c>
      <c r="J9" s="13">
        <f t="shared" si="2"/>
        <v>0</v>
      </c>
      <c r="K9" s="23" t="str">
        <f t="shared" si="3"/>
        <v xml:space="preserve">    ["jJDtGWDHchw", 0, 0, ""],</v>
      </c>
    </row>
    <row r="10" spans="1:11" x14ac:dyDescent="0.3">
      <c r="E10" s="8">
        <f t="shared" si="0"/>
        <v>0</v>
      </c>
      <c r="I10" s="8">
        <f t="shared" si="1"/>
        <v>0</v>
      </c>
      <c r="J10" s="13">
        <f t="shared" si="2"/>
        <v>0</v>
      </c>
      <c r="K10" s="23" t="str">
        <f t="shared" si="3"/>
        <v xml:space="preserve">    ["jJDtGWDHchw", 0, 0, ""],</v>
      </c>
    </row>
    <row r="11" spans="1:11" x14ac:dyDescent="0.3">
      <c r="E11" s="8">
        <f t="shared" si="0"/>
        <v>0</v>
      </c>
      <c r="I11" s="8">
        <f t="shared" si="1"/>
        <v>0</v>
      </c>
      <c r="J11" s="13">
        <f t="shared" si="2"/>
        <v>0</v>
      </c>
      <c r="K11" s="23" t="str">
        <f t="shared" si="3"/>
        <v xml:space="preserve">    ["jJDtGWDHchw", 0, 0, ""],</v>
      </c>
    </row>
    <row r="12" spans="1:11" x14ac:dyDescent="0.3">
      <c r="E12" s="8">
        <f t="shared" si="0"/>
        <v>0</v>
      </c>
      <c r="I12" s="8">
        <f t="shared" si="1"/>
        <v>0</v>
      </c>
      <c r="J12" s="13">
        <f t="shared" si="2"/>
        <v>0</v>
      </c>
      <c r="K12" s="23" t="str">
        <f t="shared" si="3"/>
        <v xml:space="preserve">    ["jJDtGWDHchw", 0, 0, ""],</v>
      </c>
    </row>
    <row r="13" spans="1:11" x14ac:dyDescent="0.3">
      <c r="E13" s="8">
        <f t="shared" si="0"/>
        <v>0</v>
      </c>
      <c r="I13" s="8">
        <f t="shared" si="1"/>
        <v>0</v>
      </c>
      <c r="J13" s="13">
        <f t="shared" si="2"/>
        <v>0</v>
      </c>
      <c r="K13" s="23" t="str">
        <f t="shared" si="3"/>
        <v xml:space="preserve">    ["jJDtGWDHchw", 0, 0, ""],</v>
      </c>
    </row>
    <row r="14" spans="1:11" x14ac:dyDescent="0.3">
      <c r="E14" s="8">
        <f t="shared" si="0"/>
        <v>0</v>
      </c>
      <c r="I14" s="8">
        <f t="shared" si="1"/>
        <v>0</v>
      </c>
      <c r="J14" s="13">
        <f t="shared" si="2"/>
        <v>0</v>
      </c>
      <c r="K14" s="23" t="str">
        <f t="shared" si="3"/>
        <v xml:space="preserve">    ["jJDtGWDHchw", 0, 0, ""],</v>
      </c>
    </row>
    <row r="15" spans="1:11" x14ac:dyDescent="0.3">
      <c r="E15" s="8">
        <f t="shared" si="0"/>
        <v>0</v>
      </c>
      <c r="I15" s="8">
        <f t="shared" si="1"/>
        <v>0</v>
      </c>
      <c r="J15" s="13">
        <f t="shared" si="2"/>
        <v>0</v>
      </c>
      <c r="K15" s="23" t="str">
        <f t="shared" si="3"/>
        <v xml:space="preserve">    ["jJDtGWDHchw", 0, 0, ""],</v>
      </c>
    </row>
    <row r="16" spans="1:11" x14ac:dyDescent="0.3">
      <c r="E16" s="8">
        <f t="shared" si="0"/>
        <v>0</v>
      </c>
      <c r="I16" s="8">
        <f t="shared" si="1"/>
        <v>0</v>
      </c>
      <c r="J16" s="13">
        <f t="shared" si="2"/>
        <v>0</v>
      </c>
      <c r="K16" s="23" t="str">
        <f t="shared" si="3"/>
        <v xml:space="preserve">    ["jJDtGWDHchw", 0, 0, ""],</v>
      </c>
    </row>
    <row r="17" spans="5:11" x14ac:dyDescent="0.3">
      <c r="E17" s="8">
        <f t="shared" si="0"/>
        <v>0</v>
      </c>
      <c r="I17" s="8">
        <f t="shared" si="1"/>
        <v>0</v>
      </c>
      <c r="J17" s="13">
        <f t="shared" si="2"/>
        <v>0</v>
      </c>
      <c r="K17" s="23" t="str">
        <f t="shared" si="3"/>
        <v xml:space="preserve">    ["jJDtGWDHchw", 0, 0, ""],</v>
      </c>
    </row>
    <row r="18" spans="5:11" x14ac:dyDescent="0.3">
      <c r="E18" s="8">
        <f t="shared" si="0"/>
        <v>0</v>
      </c>
      <c r="I18" s="8">
        <f t="shared" si="1"/>
        <v>0</v>
      </c>
      <c r="J18" s="13">
        <f t="shared" si="2"/>
        <v>0</v>
      </c>
      <c r="K18" s="23" t="str">
        <f t="shared" si="3"/>
        <v xml:space="preserve">    ["jJDtGWDHchw", 0, 0, ""],</v>
      </c>
    </row>
    <row r="19" spans="5:11" x14ac:dyDescent="0.3">
      <c r="E19" s="8">
        <f t="shared" si="0"/>
        <v>0</v>
      </c>
      <c r="I19" s="8">
        <f t="shared" si="1"/>
        <v>0</v>
      </c>
      <c r="J19" s="13">
        <f t="shared" si="2"/>
        <v>0</v>
      </c>
      <c r="K19" s="23" t="str">
        <f t="shared" si="3"/>
        <v xml:space="preserve">    ["jJDtGWDHchw", 0, 0, ""],</v>
      </c>
    </row>
    <row r="20" spans="5:11" x14ac:dyDescent="0.3">
      <c r="E20" s="8">
        <f t="shared" si="0"/>
        <v>0</v>
      </c>
      <c r="I20" s="8">
        <f t="shared" si="1"/>
        <v>0</v>
      </c>
      <c r="J20" s="13">
        <f t="shared" si="2"/>
        <v>0</v>
      </c>
      <c r="K20" s="23" t="str">
        <f t="shared" si="3"/>
        <v xml:space="preserve">    ["jJDtGWDHchw", 0, 0, ""],</v>
      </c>
    </row>
    <row r="21" spans="5:11" x14ac:dyDescent="0.3">
      <c r="E21" s="8">
        <f t="shared" si="0"/>
        <v>0</v>
      </c>
      <c r="I21" s="8">
        <f t="shared" si="1"/>
        <v>0</v>
      </c>
      <c r="J21" s="13">
        <f t="shared" si="2"/>
        <v>0</v>
      </c>
      <c r="K21" s="23" t="str">
        <f t="shared" si="3"/>
        <v xml:space="preserve">    ["jJDtGWDHchw", 0, 0, ""],</v>
      </c>
    </row>
    <row r="22" spans="5:11" x14ac:dyDescent="0.3">
      <c r="E22" s="8">
        <f t="shared" si="0"/>
        <v>0</v>
      </c>
      <c r="I22" s="8">
        <f t="shared" si="1"/>
        <v>0</v>
      </c>
      <c r="J22" s="13">
        <f t="shared" si="2"/>
        <v>0</v>
      </c>
      <c r="K22" s="23" t="str">
        <f t="shared" si="3"/>
        <v xml:space="preserve">    ["jJDtGWDHchw", 0, 0, ""],</v>
      </c>
    </row>
    <row r="23" spans="5:11" x14ac:dyDescent="0.3">
      <c r="E23" s="8">
        <f t="shared" si="0"/>
        <v>0</v>
      </c>
      <c r="I23" s="8">
        <f t="shared" si="1"/>
        <v>0</v>
      </c>
      <c r="J23" s="13">
        <f t="shared" si="2"/>
        <v>0</v>
      </c>
      <c r="K23" s="23" t="str">
        <f t="shared" si="3"/>
        <v xml:space="preserve">    ["jJDtGWDHchw", 0, 0, ""],</v>
      </c>
    </row>
    <row r="24" spans="5:11" x14ac:dyDescent="0.3">
      <c r="E24" s="8">
        <f t="shared" si="0"/>
        <v>0</v>
      </c>
      <c r="I24" s="8">
        <f t="shared" si="1"/>
        <v>0</v>
      </c>
      <c r="J24" s="13">
        <f t="shared" si="2"/>
        <v>0</v>
      </c>
      <c r="K24" s="23" t="str">
        <f t="shared" si="3"/>
        <v xml:space="preserve">    ["jJDtGWDHchw", 0, 0, ""],</v>
      </c>
    </row>
    <row r="25" spans="5:11" x14ac:dyDescent="0.3">
      <c r="E25" s="8">
        <f t="shared" si="0"/>
        <v>0</v>
      </c>
      <c r="I25" s="8">
        <f t="shared" si="1"/>
        <v>0</v>
      </c>
      <c r="J25" s="13">
        <f t="shared" si="2"/>
        <v>0</v>
      </c>
      <c r="K25" s="23" t="str">
        <f t="shared" si="3"/>
        <v xml:space="preserve">    ["jJDtGWDHchw", 0, 0, ""],</v>
      </c>
    </row>
    <row r="26" spans="5:11" x14ac:dyDescent="0.3">
      <c r="E26" s="8">
        <f t="shared" si="0"/>
        <v>0</v>
      </c>
      <c r="I26" s="8">
        <f t="shared" si="1"/>
        <v>0</v>
      </c>
      <c r="J26" s="13">
        <f t="shared" si="2"/>
        <v>0</v>
      </c>
      <c r="K26" s="23" t="str">
        <f t="shared" si="3"/>
        <v xml:space="preserve">    ["jJDtGWDHchw", 0, 0, ""],</v>
      </c>
    </row>
    <row r="27" spans="5:11" x14ac:dyDescent="0.3">
      <c r="E27" s="8">
        <f t="shared" si="0"/>
        <v>0</v>
      </c>
      <c r="I27" s="8">
        <f t="shared" si="1"/>
        <v>0</v>
      </c>
      <c r="J27" s="13">
        <f t="shared" si="2"/>
        <v>0</v>
      </c>
      <c r="K27" s="23" t="str">
        <f t="shared" si="3"/>
        <v xml:space="preserve">    ["jJDtGWDHchw", 0, 0, ""],</v>
      </c>
    </row>
    <row r="52" spans="1:8" x14ac:dyDescent="0.3">
      <c r="B52" s="4"/>
      <c r="C52" s="4"/>
      <c r="D52" s="4"/>
      <c r="F52" s="4"/>
      <c r="G52" s="4"/>
      <c r="H52" s="4"/>
    </row>
    <row r="53" spans="1:8" x14ac:dyDescent="0.3">
      <c r="B53" s="4"/>
      <c r="C53" s="4"/>
      <c r="D53" s="4"/>
      <c r="F53" s="4"/>
      <c r="G53" s="4"/>
      <c r="H53" s="4"/>
    </row>
    <row r="55" spans="1:8" x14ac:dyDescent="0.3">
      <c r="B55" s="4"/>
      <c r="C55" s="4"/>
      <c r="D55" s="4"/>
      <c r="F55" s="4"/>
      <c r="G55" s="4"/>
      <c r="H55" s="4"/>
    </row>
    <row r="56" spans="1:8" x14ac:dyDescent="0.3">
      <c r="B56" s="4"/>
      <c r="C56" s="4"/>
      <c r="D56" s="4"/>
      <c r="F56" s="4"/>
      <c r="G56" s="4"/>
      <c r="H56" s="4"/>
    </row>
    <row r="57" spans="1:8" x14ac:dyDescent="0.3">
      <c r="A57" s="3"/>
    </row>
  </sheetData>
  <phoneticPr fontId="1" type="noConversion"/>
  <conditionalFormatting sqref="J1:J1048576">
    <cfRule type="cellIs" dxfId="0" priority="1" operator="notBetween">
      <formula>180</formula>
      <formula>360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97CF8-A788-4AAF-AB2F-042EE09F073B}">
  <sheetPr codeName="工作表1">
    <tabColor rgb="FF00B050"/>
  </sheetPr>
  <dimension ref="A1:G10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9" defaultRowHeight="16.3" x14ac:dyDescent="0.3"/>
  <cols>
    <col min="1" max="1" width="19.109375" style="29" customWidth="1"/>
    <col min="2" max="2" width="11.6640625" customWidth="1"/>
    <col min="3" max="3" width="22.33203125" style="16" customWidth="1"/>
    <col min="4" max="4" width="13.5546875" style="17" customWidth="1"/>
    <col min="5" max="6" width="5.33203125" style="17" customWidth="1"/>
    <col min="7" max="7" width="71.6640625" style="12" customWidth="1"/>
    <col min="8" max="16384" width="9" style="1"/>
  </cols>
  <sheetData>
    <row r="1" spans="1:7" s="10" customFormat="1" ht="17.55" thickBot="1" x14ac:dyDescent="0.35">
      <c r="A1" s="30" t="s">
        <v>0</v>
      </c>
      <c r="B1" s="9"/>
      <c r="C1" s="9" t="s">
        <v>19</v>
      </c>
      <c r="D1" s="9" t="s">
        <v>20</v>
      </c>
      <c r="E1" s="9" t="s">
        <v>21</v>
      </c>
      <c r="F1" s="9" t="s">
        <v>22</v>
      </c>
      <c r="G1" s="9" t="s">
        <v>23</v>
      </c>
    </row>
    <row r="2" spans="1:7" ht="17.55" thickTop="1" thickBot="1" x14ac:dyDescent="0.35">
      <c r="A2" s="28" t="s">
        <v>5</v>
      </c>
      <c r="B2" s="22"/>
      <c r="C2" s="16" t="s">
        <v>25</v>
      </c>
      <c r="D2" s="17" t="s">
        <v>24</v>
      </c>
      <c r="E2" s="17">
        <v>151</v>
      </c>
      <c r="F2" s="17">
        <v>463</v>
      </c>
      <c r="G2" s="12" t="str">
        <f>"    [""" &amp; $D2 &amp; """, " &amp; $E2 &amp; ", " &amp; $F2 &amp; ", """ &amp; $A2 &amp; """],"</f>
        <v xml:space="preserve">    ["yDpTcXRr6xs", 151, 463, "ガーネット"],</v>
      </c>
    </row>
    <row r="10" spans="1:7" x14ac:dyDescent="0.3">
      <c r="C10" s="18"/>
    </row>
  </sheetData>
  <phoneticPr fontId="1" type="noConversion"/>
  <hyperlinks>
    <hyperlink ref="A2" r:id="rId1" display="https://youtu.be/yDpTcXRr6xs?t=151&amp;end=463" xr:uid="{971E8B7D-26F1-43F8-9356-8E51B5650FD5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</xdr:col>
                <xdr:colOff>0</xdr:colOff>
                <xdr:row>0</xdr:row>
                <xdr:rowOff>214685</xdr:rowOff>
              </from>
              <to>
                <xdr:col>1</xdr:col>
                <xdr:colOff>826936</xdr:colOff>
                <xdr:row>2</xdr:row>
                <xdr:rowOff>198783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說明</vt:lpstr>
      <vt:lpstr>由資料產生帶連結歌名</vt:lpstr>
      <vt:lpstr>時軸轉換表</vt:lpstr>
      <vt:lpstr>由連結拆出json資料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陳鈞</dc:creator>
  <cp:lastModifiedBy>陳鈞Jim</cp:lastModifiedBy>
  <dcterms:created xsi:type="dcterms:W3CDTF">2020-11-02T07:09:19Z</dcterms:created>
  <dcterms:modified xsi:type="dcterms:W3CDTF">2022-09-28T04:11:03Z</dcterms:modified>
</cp:coreProperties>
</file>