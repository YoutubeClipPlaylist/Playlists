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\YoutubeClipPlaylist\Playlists\"/>
    </mc:Choice>
  </mc:AlternateContent>
  <xr:revisionPtr revIDLastSave="0" documentId="13_ncr:1_{F205E0DF-42C1-42C3-9309-EA6658013D5E}" xr6:coauthVersionLast="47" xr6:coauthVersionMax="47" xr10:uidLastSave="{00000000-0000-0000-0000-000000000000}"/>
  <bookViews>
    <workbookView xWindow="24918" yWindow="263" windowWidth="20273" windowHeight="13373" activeTab="1" xr2:uid="{F29645A2-B28C-4C83-B628-3EFFFD917111}"/>
  </bookViews>
  <sheets>
    <sheet name="說明" sheetId="2" r:id="rId1"/>
    <sheet name="由連結拆出json資料" sheetId="1" r:id="rId2"/>
    <sheet name="由資料產生帶連結歌名" sheetId="5" r:id="rId3"/>
    <sheet name="時軸轉換表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4" l="1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" i="4"/>
  <c r="E2" i="4"/>
  <c r="I2" i="4"/>
  <c r="J2" i="4" s="1"/>
  <c r="E3" i="4"/>
  <c r="I3" i="4"/>
  <c r="J3" i="4"/>
  <c r="E4" i="4"/>
  <c r="I4" i="4"/>
  <c r="J4" i="4" s="1"/>
  <c r="E5" i="4"/>
  <c r="I5" i="4"/>
  <c r="J5" i="4" s="1"/>
  <c r="E6" i="4"/>
  <c r="I6" i="4"/>
  <c r="J6" i="4"/>
  <c r="E7" i="4"/>
  <c r="I7" i="4"/>
  <c r="J7" i="4" s="1"/>
  <c r="E8" i="4"/>
  <c r="I8" i="4"/>
  <c r="J8" i="4" s="1"/>
  <c r="E9" i="4"/>
  <c r="I9" i="4"/>
  <c r="J9" i="4"/>
  <c r="E10" i="4"/>
  <c r="I10" i="4"/>
  <c r="J10" i="4" s="1"/>
  <c r="E11" i="4"/>
  <c r="I11" i="4"/>
  <c r="J11" i="4" s="1"/>
  <c r="E12" i="4"/>
  <c r="I12" i="4"/>
  <c r="J12" i="4"/>
  <c r="E13" i="4"/>
  <c r="I13" i="4"/>
  <c r="J13" i="4" s="1"/>
  <c r="E14" i="4"/>
  <c r="I14" i="4"/>
  <c r="J14" i="4" s="1"/>
  <c r="E15" i="4"/>
  <c r="I15" i="4"/>
  <c r="J15" i="4"/>
  <c r="E16" i="4"/>
  <c r="I16" i="4"/>
  <c r="J16" i="4" s="1"/>
  <c r="E17" i="4"/>
  <c r="I17" i="4"/>
  <c r="J17" i="4" s="1"/>
  <c r="E18" i="4"/>
  <c r="I18" i="4"/>
  <c r="J18" i="4"/>
  <c r="E19" i="4"/>
  <c r="I19" i="4"/>
  <c r="J19" i="4" s="1"/>
  <c r="E20" i="4"/>
  <c r="I20" i="4"/>
  <c r="J20" i="4" s="1"/>
  <c r="E21" i="4"/>
  <c r="I21" i="4"/>
  <c r="J21" i="4"/>
  <c r="E22" i="4"/>
  <c r="I22" i="4"/>
  <c r="J22" i="4" s="1"/>
  <c r="E23" i="4"/>
  <c r="I23" i="4"/>
  <c r="J23" i="4" s="1"/>
  <c r="E24" i="4"/>
  <c r="I24" i="4"/>
  <c r="J24" i="4"/>
  <c r="E25" i="4"/>
  <c r="I25" i="4"/>
  <c r="J25" i="4" s="1"/>
  <c r="E26" i="4"/>
  <c r="I26" i="4"/>
  <c r="J26" i="4" s="1"/>
  <c r="E27" i="4"/>
  <c r="I27" i="4"/>
  <c r="J27" i="4"/>
  <c r="G2" i="1" l="1"/>
</calcChain>
</file>

<file path=xl/sharedStrings.xml><?xml version="1.0" encoding="utf-8"?>
<sst xmlns="http://schemas.openxmlformats.org/spreadsheetml/2006/main" count="40" uniqueCount="31">
  <si>
    <t>要轉換的帶網址字串</t>
    <phoneticPr fontId="1" type="noConversion"/>
  </si>
  <si>
    <t>提出的網址</t>
    <phoneticPr fontId="1" type="noConversion"/>
  </si>
  <si>
    <t>網址或影片ID</t>
    <phoneticPr fontId="1" type="noConversion"/>
  </si>
  <si>
    <t>start</t>
    <phoneticPr fontId="1" type="noConversion"/>
  </si>
  <si>
    <t>end</t>
    <phoneticPr fontId="1" type="noConversion"/>
  </si>
  <si>
    <t>轉出結果</t>
    <phoneticPr fontId="1" type="noConversion"/>
  </si>
  <si>
    <t>https://docs.google.com/spreadsheets/d/1ejh9QtxuN54A5yga55NOFhu71E3lV1Fs8GaHQQ-T5Zs/edit?usp=sharing</t>
  </si>
  <si>
    <t>https://docs.google.com/spreadsheets/d/1WMQoEwZZbT4FC1pQ1aNHhNTHukskGXGKw3vcXpnFsPA/edit?usp=sharing</t>
    <phoneticPr fontId="1" type="noConversion"/>
  </si>
  <si>
    <t>ガーネット</t>
  </si>
  <si>
    <t>https://youtu.be/yDpTcXRr6xs?t=151&amp;end=463</t>
    <phoneticPr fontId="1" type="noConversion"/>
  </si>
  <si>
    <t>yDpTcXRr6xs</t>
    <phoneticPr fontId="1" type="noConversion"/>
  </si>
  <si>
    <t>https://blog.maki0419.com/2022/06/chrome-extension-youtube-clip-playlist.html</t>
    <phoneticPr fontId="1" type="noConversion"/>
  </si>
  <si>
    <t>感電</t>
  </si>
  <si>
    <t>jJDtGWDHchw</t>
    <phoneticPr fontId="1" type="noConversion"/>
  </si>
  <si>
    <t>時長</t>
    <phoneticPr fontId="1" type="noConversion"/>
  </si>
  <si>
    <t>秒</t>
    <phoneticPr fontId="1" type="noConversion"/>
  </si>
  <si>
    <t>分</t>
    <phoneticPr fontId="1" type="noConversion"/>
  </si>
  <si>
    <t>時</t>
    <phoneticPr fontId="1" type="noConversion"/>
  </si>
  <si>
    <t>曲名</t>
    <phoneticPr fontId="1" type="noConversion"/>
  </si>
  <si>
    <t>時軸轉換表: 由影片留言處整理網友時間軸時使用的表格</t>
    <phoneticPr fontId="1" type="noConversion"/>
  </si>
  <si>
    <t>此為專為 Youtube影片截選播放清單 (Youtube Clip Playlist) 設計之歌單產生表格</t>
    <phoneticPr fontId="1" type="noConversion"/>
  </si>
  <si>
    <t>←填入影片ID</t>
    <phoneticPr fontId="1" type="noConversion"/>
  </si>
  <si>
    <t>(自動產生)</t>
    <phoneticPr fontId="1" type="noConversion"/>
  </si>
  <si>
    <t>時長超過180~360秒時紅底警示，很可能是打錯軸</t>
    <phoneticPr fontId="1" type="noConversion"/>
  </si>
  <si>
    <t>範例來源</t>
    <phoneticPr fontId="1" type="noConversion"/>
  </si>
  <si>
    <t>先使用Excel的「資料剖析」功能切割字串，然後再填入</t>
    <phoneticPr fontId="1" type="noConversion"/>
  </si>
  <si>
    <t>歌名</t>
    <phoneticPr fontId="1" type="noConversion"/>
  </si>
  <si>
    <t>網址 (自動產生)</t>
    <phoneticPr fontId="1" type="noConversion"/>
  </si>
  <si>
    <t>ガーネット</t>
    <phoneticPr fontId="1" type="noConversion"/>
  </si>
  <si>
    <t>影片ID</t>
    <phoneticPr fontId="1" type="noConversion"/>
  </si>
  <si>
    <t>由連結拆出json資料: 將連結貼上於A欄後，點執行按鈕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</si>
</sst>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sz val="12"/>
      <color theme="1"/>
      <name val="Microsoft YaHei"/>
      <family val="2"/>
      <charset val="134"/>
    </font>
    <font>
      <u/>
      <sz val="12"/>
      <color theme="10"/>
      <name val="Microsoft YaHei"/>
      <family val="2"/>
      <charset val="134"/>
    </font>
    <font>
      <b/>
      <sz val="12"/>
      <color theme="1"/>
      <name val="Microsoft YaHei"/>
      <family val="2"/>
      <charset val="134"/>
    </font>
    <font>
      <sz val="12"/>
      <color theme="3"/>
      <name val="Microsoft YaHei"/>
      <family val="2"/>
      <charset val="134"/>
    </font>
    <font>
      <sz val="12"/>
      <color theme="3"/>
      <name val="Microsoft YaHei"/>
      <family val="2"/>
    </font>
    <font>
      <sz val="12"/>
      <color theme="1"/>
      <name val="Microsoft YaHei"/>
      <family val="2"/>
    </font>
    <font>
      <sz val="12"/>
      <name val="Microsoft YaHe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2" fillId="0" borderId="3" xfId="1" applyBorder="1" applyAlignment="1">
      <alignment wrapText="1"/>
    </xf>
    <xf numFmtId="0" fontId="0" fillId="0" borderId="4" xfId="0" applyBorder="1">
      <alignment vertical="center"/>
    </xf>
    <xf numFmtId="0" fontId="2" fillId="0" borderId="4" xfId="1" applyBorder="1">
      <alignment vertical="center"/>
    </xf>
    <xf numFmtId="176" fontId="0" fillId="0" borderId="0" xfId="0" applyNumberFormat="1">
      <alignment vertical="center"/>
    </xf>
    <xf numFmtId="0" fontId="4" fillId="0" borderId="7" xfId="0" applyFont="1" applyBorder="1">
      <alignment vertical="center"/>
    </xf>
    <xf numFmtId="0" fontId="4" fillId="0" borderId="0" xfId="0" applyFont="1">
      <alignment vertical="center"/>
    </xf>
    <xf numFmtId="0" fontId="5" fillId="0" borderId="0" xfId="1" applyFont="1">
      <alignment vertical="center"/>
    </xf>
    <xf numFmtId="0" fontId="6" fillId="0" borderId="0" xfId="0" applyFont="1">
      <alignment vertical="center"/>
    </xf>
    <xf numFmtId="0" fontId="0" fillId="2" borderId="4" xfId="0" applyFill="1" applyBorder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7" fillId="0" borderId="2" xfId="2" applyFont="1">
      <alignment vertical="center"/>
    </xf>
    <xf numFmtId="0" fontId="8" fillId="0" borderId="2" xfId="2" applyFont="1" applyAlignment="1">
      <alignment vertical="center"/>
    </xf>
    <xf numFmtId="0" fontId="8" fillId="2" borderId="2" xfId="2" applyFont="1" applyFill="1" applyAlignment="1">
      <alignment vertical="center"/>
    </xf>
    <xf numFmtId="0" fontId="9" fillId="0" borderId="5" xfId="0" applyFont="1" applyBorder="1">
      <alignment vertical="center"/>
    </xf>
    <xf numFmtId="0" fontId="9" fillId="2" borderId="7" xfId="0" applyFont="1" applyFill="1" applyBorder="1">
      <alignment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2" fillId="2" borderId="1" xfId="1" applyFill="1" applyBorder="1" applyAlignment="1">
      <alignment vertical="center"/>
    </xf>
  </cellXfs>
  <cellStyles count="3">
    <cellStyle name="一般" xfId="0" builtinId="0"/>
    <cellStyle name="超連結" xfId="1" builtinId="8"/>
    <cellStyle name="標題 2" xfId="2" builtinId="17"/>
  </cellStyles>
  <dxfs count="1"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15903</xdr:rowOff>
        </xdr:from>
        <xdr:to>
          <xdr:col>6</xdr:col>
          <xdr:colOff>0</xdr:colOff>
          <xdr:row>3</xdr:row>
          <xdr:rowOff>15902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3</xdr:row>
          <xdr:rowOff>1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FD5B4E7-C7C1-47AA-AE09-48EB485E6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google.com/spreadsheets/d/1WMQoEwZZbT4FC1pQ1aNHhNTHukskGXGKw3vcXpnFsPA/edit?usp=sharing" TargetMode="External"/><Relationship Id="rId2" Type="http://schemas.openxmlformats.org/officeDocument/2006/relationships/hyperlink" Target="https://docs.google.com/spreadsheets/d/1ejh9QtxuN54A5yga55NOFhu71E3lV1Fs8GaHQQ-T5Zs/edit?usp=sharing" TargetMode="External"/><Relationship Id="rId1" Type="http://schemas.openxmlformats.org/officeDocument/2006/relationships/hyperlink" Target="https://blog.maki0419.com/2022/06/chrome-extension-youtube-clip-playlist.html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youtu.be/yDpTcXRr6xs?t=151&amp;end=463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2.emf"/><Relationship Id="rId2" Type="http://schemas.openxmlformats.org/officeDocument/2006/relationships/hyperlink" Target="https://youtu.be/yDpTcXRr6xs?t=151" TargetMode="External"/><Relationship Id="rId1" Type="http://schemas.openxmlformats.org/officeDocument/2006/relationships/hyperlink" Target="https://youtu.be/yDpTcXRr6xs?t=151&amp;end=463" TargetMode="External"/><Relationship Id="rId6" Type="http://schemas.openxmlformats.org/officeDocument/2006/relationships/control" Target="../activeX/activeX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EAB52-A7C8-4B43-90B2-AF1A512C4C7A}">
  <sheetPr codeName="工作表2">
    <tabColor rgb="FFFF0000"/>
  </sheetPr>
  <dimension ref="B2:B12"/>
  <sheetViews>
    <sheetView workbookViewId="0"/>
  </sheetViews>
  <sheetFormatPr defaultRowHeight="16.899999999999999" x14ac:dyDescent="0.3"/>
  <cols>
    <col min="1" max="1" width="8.88671875" style="8"/>
    <col min="2" max="2" width="79" style="8" customWidth="1"/>
    <col min="3" max="16384" width="8.88671875" style="8"/>
  </cols>
  <sheetData>
    <row r="2" spans="2:2" x14ac:dyDescent="0.3">
      <c r="B2" s="8" t="s">
        <v>20</v>
      </c>
    </row>
    <row r="3" spans="2:2" x14ac:dyDescent="0.3">
      <c r="B3" s="9" t="s">
        <v>11</v>
      </c>
    </row>
    <row r="4" spans="2:2" x14ac:dyDescent="0.3">
      <c r="B4" s="9"/>
    </row>
    <row r="5" spans="2:2" ht="17.55" x14ac:dyDescent="0.3">
      <c r="B5" s="10" t="s">
        <v>30</v>
      </c>
    </row>
    <row r="6" spans="2:2" x14ac:dyDescent="0.3">
      <c r="B6" s="8" t="s">
        <v>24</v>
      </c>
    </row>
    <row r="7" spans="2:2" x14ac:dyDescent="0.3">
      <c r="B7" s="9" t="s">
        <v>6</v>
      </c>
    </row>
    <row r="8" spans="2:2" x14ac:dyDescent="0.3">
      <c r="B8" s="9" t="s">
        <v>7</v>
      </c>
    </row>
    <row r="10" spans="2:2" ht="17.55" x14ac:dyDescent="0.3">
      <c r="B10" s="10" t="s">
        <v>19</v>
      </c>
    </row>
    <row r="11" spans="2:2" x14ac:dyDescent="0.3">
      <c r="B11" s="8" t="s">
        <v>25</v>
      </c>
    </row>
    <row r="12" spans="2:2" x14ac:dyDescent="0.3">
      <c r="B12" s="8" t="s">
        <v>23</v>
      </c>
    </row>
  </sheetData>
  <phoneticPr fontId="1" type="noConversion"/>
  <hyperlinks>
    <hyperlink ref="B3" r:id="rId1" xr:uid="{9BBE0E2F-F928-484A-8FA6-1D5DA5F604BC}"/>
    <hyperlink ref="B7" r:id="rId2" xr:uid="{EA2409D1-C256-474C-AB41-54DE2932B3C9}"/>
    <hyperlink ref="B8" r:id="rId3" xr:uid="{C4F015F0-FE89-446C-AEFA-53639279B0A5}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97CF8-A788-4AAF-AB2F-042EE09F073B}">
  <sheetPr codeName="工作表1">
    <tabColor rgb="FF00B050"/>
  </sheetPr>
  <dimension ref="A1:G10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9" defaultRowHeight="16.3" x14ac:dyDescent="0.3"/>
  <cols>
    <col min="1" max="1" width="24.77734375" customWidth="1"/>
    <col min="2" max="2" width="22.33203125" style="1" customWidth="1"/>
    <col min="3" max="3" width="17.44140625" style="1" customWidth="1"/>
    <col min="4" max="5" width="9" style="1"/>
    <col min="6" max="6" width="11.5546875" style="1" customWidth="1"/>
    <col min="7" max="7" width="71.6640625" style="2" customWidth="1"/>
    <col min="8" max="16384" width="9" style="1"/>
  </cols>
  <sheetData>
    <row r="1" spans="1:7" s="15" customFormat="1" ht="17.55" thickBot="1" x14ac:dyDescent="0.3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G1" s="15" t="s">
        <v>5</v>
      </c>
    </row>
    <row r="2" spans="1:7" ht="17.55" thickTop="1" thickBot="1" x14ac:dyDescent="0.35">
      <c r="A2" s="3" t="s">
        <v>8</v>
      </c>
      <c r="B2" s="1" t="s">
        <v>9</v>
      </c>
      <c r="C2" s="1" t="s">
        <v>10</v>
      </c>
      <c r="D2" s="1">
        <v>151</v>
      </c>
      <c r="E2" s="1">
        <v>463</v>
      </c>
      <c r="G2" s="2" t="str">
        <f>"    [""" &amp; C2 &amp; """, " &amp; D2 &amp; ", " &amp; E2 &amp; ", """ &amp; A2 &amp; """],"</f>
        <v xml:space="preserve">    ["yDpTcXRr6xs", 151, 463, "ガーネット"],</v>
      </c>
    </row>
    <row r="10" spans="1:7" x14ac:dyDescent="0.3">
      <c r="B10"/>
    </row>
  </sheetData>
  <phoneticPr fontId="1" type="noConversion"/>
  <hyperlinks>
    <hyperlink ref="A2" r:id="rId1" display="https://youtu.be/yDpTcXRr6xs?t=151&amp;end=463" xr:uid="{971E8B7D-26F1-43F8-9356-8E51B5650FD5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autoPict="0" r:id="rId6">
            <anchor moveWithCells="1">
              <from>
                <xdr:col>5</xdr:col>
                <xdr:colOff>0</xdr:colOff>
                <xdr:row>1</xdr:row>
                <xdr:rowOff>15903</xdr:rowOff>
              </from>
              <to>
                <xdr:col>6</xdr:col>
                <xdr:colOff>0</xdr:colOff>
                <xdr:row>3</xdr:row>
                <xdr:rowOff>15903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44424-5A16-456D-ACB1-D6CE269580C3}">
  <sheetPr codeName="工作表3">
    <tabColor theme="4"/>
  </sheetPr>
  <dimension ref="A1:G2"/>
  <sheetViews>
    <sheetView workbookViewId="0">
      <pane ySplit="1" topLeftCell="A2" activePane="bottomLeft" state="frozen"/>
      <selection pane="bottomLeft" activeCell="A2" sqref="A2"/>
    </sheetView>
  </sheetViews>
  <sheetFormatPr defaultColWidth="9" defaultRowHeight="16.3" x14ac:dyDescent="0.3"/>
  <cols>
    <col min="1" max="1" width="24.77734375" customWidth="1"/>
    <col min="2" max="2" width="15.109375" style="1" customWidth="1"/>
    <col min="3" max="3" width="6.33203125" style="1" customWidth="1"/>
    <col min="4" max="4" width="5.44140625" style="1" customWidth="1"/>
    <col min="5" max="5" width="39.5546875" style="13" customWidth="1"/>
    <col min="6" max="6" width="11.5546875" style="1" customWidth="1"/>
    <col min="7" max="7" width="24.77734375" style="20" customWidth="1"/>
    <col min="8" max="16384" width="9" style="1"/>
  </cols>
  <sheetData>
    <row r="1" spans="1:7" s="15" customFormat="1" ht="17.55" thickBot="1" x14ac:dyDescent="0.35">
      <c r="A1" s="14" t="s">
        <v>26</v>
      </c>
      <c r="B1" s="15" t="s">
        <v>29</v>
      </c>
      <c r="C1" s="15" t="s">
        <v>3</v>
      </c>
      <c r="D1" s="15" t="s">
        <v>4</v>
      </c>
      <c r="E1" s="16" t="s">
        <v>27</v>
      </c>
      <c r="G1" s="16" t="s">
        <v>5</v>
      </c>
    </row>
    <row r="2" spans="1:7" ht="16.899999999999999" thickTop="1" x14ac:dyDescent="0.3">
      <c r="A2" t="s">
        <v>8</v>
      </c>
      <c r="B2" s="1" t="s">
        <v>10</v>
      </c>
      <c r="C2" s="1">
        <v>151</v>
      </c>
      <c r="D2" s="1">
        <v>463</v>
      </c>
      <c r="G2" s="21" t="s">
        <v>28</v>
      </c>
    </row>
  </sheetData>
  <phoneticPr fontId="1" type="noConversion"/>
  <hyperlinks>
    <hyperlink ref="A2" r:id="rId1" display="https://youtu.be/yDpTcXRr6xs?t=151&amp;end=463" xr:uid="{930A2B8A-B13A-4768-8239-9DD59AEC152A}"/>
    <hyperlink ref="G2" r:id="rId2" display="https://youtu.be/yDpTcXRr6xs?t=151" xr:uid="{8417F085-C730-4614-9220-7712FA8EF442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4F736-F490-4F85-A33D-EC9E9C5AACC7}">
  <sheetPr codeName="工作表4">
    <tabColor theme="5"/>
  </sheetPr>
  <dimension ref="A1:L57"/>
  <sheetViews>
    <sheetView workbookViewId="0">
      <pane ySplit="1" topLeftCell="A2" activePane="bottomLeft" state="frozen"/>
      <selection pane="bottomLeft" activeCell="A2" sqref="A2"/>
    </sheetView>
  </sheetViews>
  <sheetFormatPr defaultRowHeight="16.3" x14ac:dyDescent="0.3"/>
  <cols>
    <col min="1" max="1" width="19.109375" style="4" customWidth="1"/>
    <col min="2" max="4" width="3.44140625" customWidth="1"/>
    <col min="5" max="5" width="10.33203125" style="11" customWidth="1"/>
    <col min="6" max="8" width="3.5546875" customWidth="1"/>
    <col min="9" max="9" width="10.6640625" style="11" customWidth="1"/>
    <col min="10" max="10" width="13.88671875" style="4" customWidth="1"/>
    <col min="11" max="11" width="50.5546875" style="12" customWidth="1"/>
    <col min="12" max="12" width="9.77734375" customWidth="1"/>
  </cols>
  <sheetData>
    <row r="1" spans="1:12" s="17" customFormat="1" ht="17.55" thickBot="1" x14ac:dyDescent="0.35">
      <c r="A1" s="7" t="s">
        <v>18</v>
      </c>
      <c r="B1" s="17" t="s">
        <v>17</v>
      </c>
      <c r="C1" s="17" t="s">
        <v>16</v>
      </c>
      <c r="D1" s="17" t="s">
        <v>15</v>
      </c>
      <c r="E1" s="18" t="s">
        <v>22</v>
      </c>
      <c r="F1" s="17" t="s">
        <v>17</v>
      </c>
      <c r="G1" s="17" t="s">
        <v>16</v>
      </c>
      <c r="H1" s="17" t="s">
        <v>15</v>
      </c>
      <c r="I1" s="18" t="s">
        <v>22</v>
      </c>
      <c r="J1" s="7" t="s">
        <v>14</v>
      </c>
      <c r="K1" s="19" t="s">
        <v>13</v>
      </c>
      <c r="L1" s="17" t="s">
        <v>21</v>
      </c>
    </row>
    <row r="2" spans="1:12" ht="16.899999999999999" thickTop="1" x14ac:dyDescent="0.3">
      <c r="A2" s="4" t="s">
        <v>12</v>
      </c>
      <c r="C2">
        <v>10</v>
      </c>
      <c r="D2">
        <v>37</v>
      </c>
      <c r="E2" s="11">
        <f t="shared" ref="E2:E27" si="0">B2*60*60 + C2*60 +D2</f>
        <v>637</v>
      </c>
      <c r="G2">
        <v>15</v>
      </c>
      <c r="H2">
        <v>2</v>
      </c>
      <c r="I2" s="11">
        <f t="shared" ref="I2:I27" si="1">$F2*60*60 + $G2*60 +H2</f>
        <v>902</v>
      </c>
      <c r="J2" s="4">
        <f t="shared" ref="J2:J27" si="2">I2-E2</f>
        <v>265</v>
      </c>
      <c r="K2" s="12" t="str">
        <f>"    [""" &amp; $K$1 &amp; """, " &amp; E2 &amp;", " &amp; I2 &amp;", """ &amp;A2&amp; """],"</f>
        <v xml:space="preserve">    ["jJDtGWDHchw", 637, 902, "感電"],</v>
      </c>
    </row>
    <row r="3" spans="1:12" x14ac:dyDescent="0.3">
      <c r="E3" s="11">
        <f t="shared" si="0"/>
        <v>0</v>
      </c>
      <c r="I3" s="11">
        <f t="shared" si="1"/>
        <v>0</v>
      </c>
      <c r="J3" s="4">
        <f t="shared" si="2"/>
        <v>0</v>
      </c>
      <c r="K3" s="12" t="str">
        <f t="shared" ref="K3:K27" si="3">"    [""" &amp; $K$1 &amp; """, " &amp; E3 &amp;", " &amp; I3 &amp;", """ &amp;A3&amp; """],"</f>
        <v xml:space="preserve">    ["jJDtGWDHchw", 0, 0, ""],</v>
      </c>
    </row>
    <row r="4" spans="1:12" x14ac:dyDescent="0.3">
      <c r="E4" s="11">
        <f t="shared" si="0"/>
        <v>0</v>
      </c>
      <c r="I4" s="11">
        <f t="shared" si="1"/>
        <v>0</v>
      </c>
      <c r="J4" s="4">
        <f t="shared" si="2"/>
        <v>0</v>
      </c>
      <c r="K4" s="12" t="str">
        <f t="shared" si="3"/>
        <v xml:space="preserve">    ["jJDtGWDHchw", 0, 0, ""],</v>
      </c>
    </row>
    <row r="5" spans="1:12" x14ac:dyDescent="0.3">
      <c r="E5" s="11">
        <f t="shared" si="0"/>
        <v>0</v>
      </c>
      <c r="I5" s="11">
        <f t="shared" si="1"/>
        <v>0</v>
      </c>
      <c r="J5" s="4">
        <f t="shared" si="2"/>
        <v>0</v>
      </c>
      <c r="K5" s="12" t="str">
        <f t="shared" si="3"/>
        <v xml:space="preserve">    ["jJDtGWDHchw", 0, 0, ""],</v>
      </c>
    </row>
    <row r="6" spans="1:12" x14ac:dyDescent="0.3">
      <c r="E6" s="11">
        <f t="shared" si="0"/>
        <v>0</v>
      </c>
      <c r="I6" s="11">
        <f t="shared" si="1"/>
        <v>0</v>
      </c>
      <c r="J6" s="4">
        <f t="shared" si="2"/>
        <v>0</v>
      </c>
      <c r="K6" s="12" t="str">
        <f t="shared" si="3"/>
        <v xml:space="preserve">    ["jJDtGWDHchw", 0, 0, ""],</v>
      </c>
    </row>
    <row r="7" spans="1:12" x14ac:dyDescent="0.3">
      <c r="E7" s="11">
        <f t="shared" si="0"/>
        <v>0</v>
      </c>
      <c r="I7" s="11">
        <f t="shared" si="1"/>
        <v>0</v>
      </c>
      <c r="J7" s="4">
        <f t="shared" si="2"/>
        <v>0</v>
      </c>
      <c r="K7" s="12" t="str">
        <f t="shared" si="3"/>
        <v xml:space="preserve">    ["jJDtGWDHchw", 0, 0, ""],</v>
      </c>
    </row>
    <row r="8" spans="1:12" x14ac:dyDescent="0.3">
      <c r="E8" s="11">
        <f t="shared" si="0"/>
        <v>0</v>
      </c>
      <c r="I8" s="11">
        <f t="shared" si="1"/>
        <v>0</v>
      </c>
      <c r="J8" s="4">
        <f t="shared" si="2"/>
        <v>0</v>
      </c>
      <c r="K8" s="12" t="str">
        <f t="shared" si="3"/>
        <v xml:space="preserve">    ["jJDtGWDHchw", 0, 0, ""],</v>
      </c>
    </row>
    <row r="9" spans="1:12" x14ac:dyDescent="0.3">
      <c r="E9" s="11">
        <f t="shared" si="0"/>
        <v>0</v>
      </c>
      <c r="I9" s="11">
        <f t="shared" si="1"/>
        <v>0</v>
      </c>
      <c r="J9" s="4">
        <f t="shared" si="2"/>
        <v>0</v>
      </c>
      <c r="K9" s="12" t="str">
        <f t="shared" si="3"/>
        <v xml:space="preserve">    ["jJDtGWDHchw", 0, 0, ""],</v>
      </c>
    </row>
    <row r="10" spans="1:12" x14ac:dyDescent="0.3">
      <c r="E10" s="11">
        <f t="shared" si="0"/>
        <v>0</v>
      </c>
      <c r="I10" s="11">
        <f t="shared" si="1"/>
        <v>0</v>
      </c>
      <c r="J10" s="4">
        <f t="shared" si="2"/>
        <v>0</v>
      </c>
      <c r="K10" s="12" t="str">
        <f t="shared" si="3"/>
        <v xml:space="preserve">    ["jJDtGWDHchw", 0, 0, ""],</v>
      </c>
    </row>
    <row r="11" spans="1:12" x14ac:dyDescent="0.3">
      <c r="E11" s="11">
        <f t="shared" si="0"/>
        <v>0</v>
      </c>
      <c r="I11" s="11">
        <f t="shared" si="1"/>
        <v>0</v>
      </c>
      <c r="J11" s="4">
        <f t="shared" si="2"/>
        <v>0</v>
      </c>
      <c r="K11" s="12" t="str">
        <f t="shared" si="3"/>
        <v xml:space="preserve">    ["jJDtGWDHchw", 0, 0, ""],</v>
      </c>
    </row>
    <row r="12" spans="1:12" x14ac:dyDescent="0.3">
      <c r="E12" s="11">
        <f t="shared" si="0"/>
        <v>0</v>
      </c>
      <c r="I12" s="11">
        <f t="shared" si="1"/>
        <v>0</v>
      </c>
      <c r="J12" s="4">
        <f t="shared" si="2"/>
        <v>0</v>
      </c>
      <c r="K12" s="12" t="str">
        <f t="shared" si="3"/>
        <v xml:space="preserve">    ["jJDtGWDHchw", 0, 0, ""],</v>
      </c>
    </row>
    <row r="13" spans="1:12" x14ac:dyDescent="0.3">
      <c r="E13" s="11">
        <f t="shared" si="0"/>
        <v>0</v>
      </c>
      <c r="I13" s="11">
        <f t="shared" si="1"/>
        <v>0</v>
      </c>
      <c r="J13" s="4">
        <f t="shared" si="2"/>
        <v>0</v>
      </c>
      <c r="K13" s="12" t="str">
        <f t="shared" si="3"/>
        <v xml:space="preserve">    ["jJDtGWDHchw", 0, 0, ""],</v>
      </c>
    </row>
    <row r="14" spans="1:12" x14ac:dyDescent="0.3">
      <c r="E14" s="11">
        <f t="shared" si="0"/>
        <v>0</v>
      </c>
      <c r="I14" s="11">
        <f t="shared" si="1"/>
        <v>0</v>
      </c>
      <c r="J14" s="4">
        <f t="shared" si="2"/>
        <v>0</v>
      </c>
      <c r="K14" s="12" t="str">
        <f t="shared" si="3"/>
        <v xml:space="preserve">    ["jJDtGWDHchw", 0, 0, ""],</v>
      </c>
    </row>
    <row r="15" spans="1:12" x14ac:dyDescent="0.3">
      <c r="E15" s="11">
        <f t="shared" si="0"/>
        <v>0</v>
      </c>
      <c r="I15" s="11">
        <f t="shared" si="1"/>
        <v>0</v>
      </c>
      <c r="J15" s="4">
        <f t="shared" si="2"/>
        <v>0</v>
      </c>
      <c r="K15" s="12" t="str">
        <f t="shared" si="3"/>
        <v xml:space="preserve">    ["jJDtGWDHchw", 0, 0, ""],</v>
      </c>
    </row>
    <row r="16" spans="1:12" x14ac:dyDescent="0.3">
      <c r="E16" s="11">
        <f t="shared" si="0"/>
        <v>0</v>
      </c>
      <c r="I16" s="11">
        <f t="shared" si="1"/>
        <v>0</v>
      </c>
      <c r="J16" s="4">
        <f t="shared" si="2"/>
        <v>0</v>
      </c>
      <c r="K16" s="12" t="str">
        <f t="shared" si="3"/>
        <v xml:space="preserve">    ["jJDtGWDHchw", 0, 0, ""],</v>
      </c>
    </row>
    <row r="17" spans="5:11" x14ac:dyDescent="0.3">
      <c r="E17" s="11">
        <f t="shared" si="0"/>
        <v>0</v>
      </c>
      <c r="I17" s="11">
        <f t="shared" si="1"/>
        <v>0</v>
      </c>
      <c r="J17" s="4">
        <f t="shared" si="2"/>
        <v>0</v>
      </c>
      <c r="K17" s="12" t="str">
        <f t="shared" si="3"/>
        <v xml:space="preserve">    ["jJDtGWDHchw", 0, 0, ""],</v>
      </c>
    </row>
    <row r="18" spans="5:11" x14ac:dyDescent="0.3">
      <c r="E18" s="11">
        <f t="shared" si="0"/>
        <v>0</v>
      </c>
      <c r="I18" s="11">
        <f t="shared" si="1"/>
        <v>0</v>
      </c>
      <c r="J18" s="4">
        <f t="shared" si="2"/>
        <v>0</v>
      </c>
      <c r="K18" s="12" t="str">
        <f t="shared" si="3"/>
        <v xml:space="preserve">    ["jJDtGWDHchw", 0, 0, ""],</v>
      </c>
    </row>
    <row r="19" spans="5:11" x14ac:dyDescent="0.3">
      <c r="E19" s="11">
        <f t="shared" si="0"/>
        <v>0</v>
      </c>
      <c r="I19" s="11">
        <f t="shared" si="1"/>
        <v>0</v>
      </c>
      <c r="J19" s="4">
        <f t="shared" si="2"/>
        <v>0</v>
      </c>
      <c r="K19" s="12" t="str">
        <f t="shared" si="3"/>
        <v xml:space="preserve">    ["jJDtGWDHchw", 0, 0, ""],</v>
      </c>
    </row>
    <row r="20" spans="5:11" x14ac:dyDescent="0.3">
      <c r="E20" s="11">
        <f t="shared" si="0"/>
        <v>0</v>
      </c>
      <c r="I20" s="11">
        <f t="shared" si="1"/>
        <v>0</v>
      </c>
      <c r="J20" s="4">
        <f t="shared" si="2"/>
        <v>0</v>
      </c>
      <c r="K20" s="12" t="str">
        <f t="shared" si="3"/>
        <v xml:space="preserve">    ["jJDtGWDHchw", 0, 0, ""],</v>
      </c>
    </row>
    <row r="21" spans="5:11" x14ac:dyDescent="0.3">
      <c r="E21" s="11">
        <f t="shared" si="0"/>
        <v>0</v>
      </c>
      <c r="I21" s="11">
        <f t="shared" si="1"/>
        <v>0</v>
      </c>
      <c r="J21" s="4">
        <f t="shared" si="2"/>
        <v>0</v>
      </c>
      <c r="K21" s="12" t="str">
        <f t="shared" si="3"/>
        <v xml:space="preserve">    ["jJDtGWDHchw", 0, 0, ""],</v>
      </c>
    </row>
    <row r="22" spans="5:11" x14ac:dyDescent="0.3">
      <c r="E22" s="11">
        <f t="shared" si="0"/>
        <v>0</v>
      </c>
      <c r="I22" s="11">
        <f t="shared" si="1"/>
        <v>0</v>
      </c>
      <c r="J22" s="4">
        <f t="shared" si="2"/>
        <v>0</v>
      </c>
      <c r="K22" s="12" t="str">
        <f t="shared" si="3"/>
        <v xml:space="preserve">    ["jJDtGWDHchw", 0, 0, ""],</v>
      </c>
    </row>
    <row r="23" spans="5:11" x14ac:dyDescent="0.3">
      <c r="E23" s="11">
        <f t="shared" si="0"/>
        <v>0</v>
      </c>
      <c r="I23" s="11">
        <f t="shared" si="1"/>
        <v>0</v>
      </c>
      <c r="J23" s="4">
        <f t="shared" si="2"/>
        <v>0</v>
      </c>
      <c r="K23" s="12" t="str">
        <f t="shared" si="3"/>
        <v xml:space="preserve">    ["jJDtGWDHchw", 0, 0, ""],</v>
      </c>
    </row>
    <row r="24" spans="5:11" x14ac:dyDescent="0.3">
      <c r="E24" s="11">
        <f t="shared" si="0"/>
        <v>0</v>
      </c>
      <c r="I24" s="11">
        <f t="shared" si="1"/>
        <v>0</v>
      </c>
      <c r="J24" s="4">
        <f t="shared" si="2"/>
        <v>0</v>
      </c>
      <c r="K24" s="12" t="str">
        <f t="shared" si="3"/>
        <v xml:space="preserve">    ["jJDtGWDHchw", 0, 0, ""],</v>
      </c>
    </row>
    <row r="25" spans="5:11" x14ac:dyDescent="0.3">
      <c r="E25" s="11">
        <f t="shared" si="0"/>
        <v>0</v>
      </c>
      <c r="I25" s="11">
        <f t="shared" si="1"/>
        <v>0</v>
      </c>
      <c r="J25" s="4">
        <f t="shared" si="2"/>
        <v>0</v>
      </c>
      <c r="K25" s="12" t="str">
        <f t="shared" si="3"/>
        <v xml:space="preserve">    ["jJDtGWDHchw", 0, 0, ""],</v>
      </c>
    </row>
    <row r="26" spans="5:11" x14ac:dyDescent="0.3">
      <c r="E26" s="11">
        <f t="shared" si="0"/>
        <v>0</v>
      </c>
      <c r="I26" s="11">
        <f t="shared" si="1"/>
        <v>0</v>
      </c>
      <c r="J26" s="4">
        <f t="shared" si="2"/>
        <v>0</v>
      </c>
      <c r="K26" s="12" t="str">
        <f t="shared" si="3"/>
        <v xml:space="preserve">    ["jJDtGWDHchw", 0, 0, ""],</v>
      </c>
    </row>
    <row r="27" spans="5:11" x14ac:dyDescent="0.3">
      <c r="E27" s="11">
        <f t="shared" si="0"/>
        <v>0</v>
      </c>
      <c r="I27" s="11">
        <f t="shared" si="1"/>
        <v>0</v>
      </c>
      <c r="J27" s="4">
        <f t="shared" si="2"/>
        <v>0</v>
      </c>
      <c r="K27" s="12" t="str">
        <f t="shared" si="3"/>
        <v xml:space="preserve">    ["jJDtGWDHchw", 0, 0, ""],</v>
      </c>
    </row>
    <row r="52" spans="1:8" x14ac:dyDescent="0.3">
      <c r="B52" s="6"/>
      <c r="C52" s="6"/>
      <c r="D52" s="6"/>
      <c r="F52" s="6"/>
      <c r="G52" s="6"/>
      <c r="H52" s="6"/>
    </row>
    <row r="53" spans="1:8" x14ac:dyDescent="0.3">
      <c r="B53" s="6"/>
      <c r="C53" s="6"/>
      <c r="D53" s="6"/>
      <c r="F53" s="6"/>
      <c r="G53" s="6"/>
      <c r="H53" s="6"/>
    </row>
    <row r="55" spans="1:8" x14ac:dyDescent="0.3">
      <c r="B55" s="6"/>
      <c r="C55" s="6"/>
      <c r="D55" s="6"/>
      <c r="F55" s="6"/>
      <c r="G55" s="6"/>
      <c r="H55" s="6"/>
    </row>
    <row r="56" spans="1:8" x14ac:dyDescent="0.3">
      <c r="B56" s="6"/>
      <c r="C56" s="6"/>
      <c r="D56" s="6"/>
      <c r="F56" s="6"/>
      <c r="G56" s="6"/>
      <c r="H56" s="6"/>
    </row>
    <row r="57" spans="1:8" x14ac:dyDescent="0.3">
      <c r="A57" s="5"/>
    </row>
  </sheetData>
  <phoneticPr fontId="1" type="noConversion"/>
  <conditionalFormatting sqref="J1:J1048576">
    <cfRule type="cellIs" dxfId="0" priority="1" operator="notBetween">
      <formula>180</formula>
      <formula>360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說明</vt:lpstr>
      <vt:lpstr>由連結拆出json資料</vt:lpstr>
      <vt:lpstr>由資料產生帶連結歌名</vt:lpstr>
      <vt:lpstr>時軸轉換表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陳鈞</dc:creator>
  <cp:lastModifiedBy>陳鈞Jim</cp:lastModifiedBy>
  <dcterms:created xsi:type="dcterms:W3CDTF">2020-11-02T07:09:19Z</dcterms:created>
  <dcterms:modified xsi:type="dcterms:W3CDTF">2022-09-22T19:15:18Z</dcterms:modified>
</cp:coreProperties>
</file>